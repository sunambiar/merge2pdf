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02"/>
  <workbookPr defaultThemeVersion="124226"/>
  <mc:AlternateContent xmlns:mc="http://schemas.openxmlformats.org/markup-compatibility/2006">
    <mc:Choice Requires="x15">
      <x15ac:absPath xmlns:x15ac="http://schemas.microsoft.com/office/spreadsheetml/2010/11/ac" url="https://indianoilworkplace-my.sharepoint.com/personal/sunambiar_indianoil_in/Documents/MktgHO/TenderTemplate/"/>
    </mc:Choice>
  </mc:AlternateContent>
  <xr:revisionPtr revIDLastSave="23" documentId="11_D605F35D88079B5C07E05C7974EB36904D96355B" xr6:coauthVersionLast="47" xr6:coauthVersionMax="47" xr10:uidLastSave="{7B3D305D-0BD9-4BAF-B8BA-36B501861DDC}"/>
  <bookViews>
    <workbookView xWindow="-120" yWindow="-120" windowWidth="29040" windowHeight="15720" xr2:uid="{00000000-000D-0000-FFFF-FFFF00000000}"/>
  </bookViews>
  <sheets>
    <sheet name="TenderDataSheet" sheetId="2" r:id="rId1"/>
    <sheet name="MergerSheet"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0" i="2" l="1"/>
  <c r="E54" i="2"/>
  <c r="E53" i="2"/>
  <c r="E55" i="2"/>
  <c r="AK2" i="1"/>
  <c r="AJ2" i="1"/>
  <c r="AI2" i="1"/>
  <c r="CE2" i="1"/>
  <c r="AY2" i="1"/>
  <c r="B3" i="2"/>
  <c r="B4" i="2"/>
  <c r="B5" i="2"/>
  <c r="B6" i="2"/>
  <c r="B7" i="2"/>
  <c r="B8" i="2"/>
  <c r="B9" i="2"/>
  <c r="B10" i="2"/>
  <c r="B11" i="2"/>
  <c r="B12" i="2"/>
  <c r="B13" i="2"/>
  <c r="B14" i="2"/>
  <c r="B15" i="2"/>
  <c r="B16" i="2"/>
  <c r="B17" i="2"/>
  <c r="B18" i="2"/>
  <c r="B19" i="2"/>
  <c r="B20" i="2"/>
  <c r="B21" i="2"/>
  <c r="B22" i="2"/>
  <c r="B23" i="2"/>
  <c r="B24" i="2"/>
  <c r="B25" i="2"/>
  <c r="B26" i="2"/>
  <c r="B27" i="2"/>
  <c r="B28" i="2"/>
  <c r="B29" i="2"/>
  <c r="B30"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2" i="2"/>
  <c r="H35" i="2"/>
  <c r="H36" i="2"/>
  <c r="BW2" i="1"/>
  <c r="BD2" i="1"/>
  <c r="BN2" i="1"/>
  <c r="BM2" i="1"/>
  <c r="BL2" i="1"/>
  <c r="E59" i="2"/>
  <c r="BO2" i="1" s="1"/>
  <c r="AU2" i="1"/>
  <c r="E72" i="2"/>
  <c r="CC2" i="1" s="1"/>
  <c r="E73" i="2"/>
  <c r="CD2" i="1" s="1"/>
  <c r="CB2" i="1"/>
  <c r="BZ2" i="1"/>
  <c r="E70" i="2"/>
  <c r="CA2" i="1" s="1"/>
  <c r="AL2" i="1"/>
  <c r="V2" i="1"/>
  <c r="E26" i="2"/>
  <c r="E25" i="2"/>
  <c r="E24" i="2"/>
  <c r="E23" i="2"/>
  <c r="AB2" i="1"/>
  <c r="AA2" i="1"/>
  <c r="Z2" i="1"/>
  <c r="Y2" i="1"/>
  <c r="X2" i="1"/>
  <c r="BY2" i="1"/>
  <c r="BX2" i="1"/>
  <c r="BC2" i="1"/>
  <c r="BB2" i="1"/>
  <c r="BA2" i="1"/>
  <c r="AZ2" i="1"/>
  <c r="AV2" i="1"/>
  <c r="BV2" i="1"/>
  <c r="BU2" i="1"/>
  <c r="BT2" i="1"/>
  <c r="BS2" i="1"/>
  <c r="BR2" i="1"/>
  <c r="U2" i="1"/>
  <c r="BQ2" i="1"/>
  <c r="F53" i="2"/>
  <c r="F54" i="2" s="1"/>
  <c r="F55" i="2" s="1"/>
  <c r="F60" i="2" s="1"/>
  <c r="BK2" i="1"/>
  <c r="BI2" i="1"/>
  <c r="BG2" i="1"/>
  <c r="BE2" i="1"/>
  <c r="AW2" i="1"/>
  <c r="B2" i="1"/>
  <c r="AC2" i="1"/>
  <c r="W2" i="1"/>
  <c r="E29" i="2"/>
  <c r="AF2" i="1" s="1"/>
  <c r="T2" i="1"/>
  <c r="J2" i="1"/>
  <c r="K2" i="1"/>
  <c r="L2" i="1"/>
  <c r="I2" i="1"/>
  <c r="A2" i="1"/>
  <c r="E39" i="2"/>
  <c r="AR2" i="1" s="1"/>
  <c r="E38" i="2"/>
  <c r="AQ2" i="1" s="1"/>
  <c r="E37" i="2"/>
  <c r="AP2" i="1" s="1"/>
  <c r="E36" i="2"/>
  <c r="AO2" i="1" s="1"/>
  <c r="E35" i="2"/>
  <c r="AN2" i="1" s="1"/>
  <c r="AH2" i="1"/>
  <c r="AG2" i="1"/>
  <c r="AE2" i="1"/>
  <c r="AD2" i="1"/>
  <c r="H2" i="1"/>
  <c r="G2" i="1"/>
  <c r="F2" i="1"/>
  <c r="E2" i="1"/>
  <c r="D2" i="1"/>
  <c r="C2" i="1"/>
  <c r="Q2" i="1"/>
  <c r="P2" i="1"/>
  <c r="O2" i="1"/>
  <c r="N2" i="1"/>
  <c r="M2" i="1"/>
  <c r="E16" i="2"/>
  <c r="R2" i="1" s="1"/>
  <c r="E17" i="2" l="1"/>
  <c r="S2" i="1" s="1"/>
  <c r="BH2" i="1"/>
  <c r="BJ2" i="1"/>
  <c r="BF2" i="1"/>
  <c r="BP2" i="1"/>
  <c r="E34" i="2"/>
  <c r="E40" i="2" s="1"/>
  <c r="E41" i="2" s="1"/>
  <c r="AT2" i="1" s="1"/>
  <c r="AS2" i="1" l="1"/>
  <c r="AM2" i="1"/>
</calcChain>
</file>

<file path=xl/sharedStrings.xml><?xml version="1.0" encoding="utf-8"?>
<sst xmlns="http://schemas.openxmlformats.org/spreadsheetml/2006/main" count="256" uniqueCount="234">
  <si>
    <t>Text Formatting</t>
  </si>
  <si>
    <t>Page</t>
  </si>
  <si>
    <t>Page Header</t>
  </si>
  <si>
    <t>IndianOil Corporation Limited (Marketing Division)</t>
  </si>
  <si>
    <t>Website</t>
  </si>
  <si>
    <t>Website for download</t>
  </si>
  <si>
    <t>www.indianoiltenders.com</t>
  </si>
  <si>
    <t>Address for Communication</t>
  </si>
  <si>
    <t>Addressed to :</t>
  </si>
  <si>
    <t>Dy. General Manager (Information Systems),</t>
  </si>
  <si>
    <t>Office Address (Line 1)</t>
  </si>
  <si>
    <r>
      <t>2</t>
    </r>
    <r>
      <rPr>
        <vertAlign val="superscript"/>
        <sz val="14"/>
        <color theme="1"/>
        <rFont val="Arial"/>
        <family val="2"/>
      </rPr>
      <t>nd</t>
    </r>
    <r>
      <rPr>
        <b/>
        <sz val="14"/>
        <color theme="1"/>
        <rFont val="Arial"/>
        <family val="2"/>
      </rPr>
      <t xml:space="preserve"> </t>
    </r>
    <r>
      <rPr>
        <sz val="11"/>
        <color theme="1"/>
        <rFont val="Arial"/>
        <family val="2"/>
      </rPr>
      <t>Floor, Information Systems Department,</t>
    </r>
  </si>
  <si>
    <t>Office Address (Line 2)</t>
  </si>
  <si>
    <t>IndianOil Corporation Limited,</t>
  </si>
  <si>
    <t>Office Address (Line 3)</t>
  </si>
  <si>
    <t xml:space="preserve">(Marketing Division) – Head Office, </t>
  </si>
  <si>
    <t>Office Address (Line 4)</t>
  </si>
  <si>
    <t>G-9, Ali Yavar Jung Marg,</t>
  </si>
  <si>
    <t>Office Address (Line 5)</t>
  </si>
  <si>
    <t>Bandra (East), Mumbai - 400 051</t>
  </si>
  <si>
    <t>Tender Reference</t>
  </si>
  <si>
    <t>Currency</t>
  </si>
  <si>
    <t>Rs.</t>
  </si>
  <si>
    <t>Currency in long text</t>
  </si>
  <si>
    <t>Rupees</t>
  </si>
  <si>
    <t>Tender Number</t>
  </si>
  <si>
    <t>HOSYS/61/PT-03/2025-26</t>
  </si>
  <si>
    <t>Tender Date</t>
  </si>
  <si>
    <t>DD-MMM-YYYY</t>
  </si>
  <si>
    <t>Description of Tender</t>
  </si>
  <si>
    <t xml:space="preserve">Implementation of IndianOil-SMILE (Salesforce Management for Insights, Loyalty and Efficiency) on SaaS platform along with Maintenance for 3 years </t>
  </si>
  <si>
    <t>Contacts</t>
  </si>
  <si>
    <t>Contact Person - 1</t>
  </si>
  <si>
    <t>Sr.Manager(IS), Tel: 022 25447329</t>
  </si>
  <si>
    <t>Contact Person - 2</t>
  </si>
  <si>
    <t>Dy.Manager(IS), Tel: 022 25447823</t>
  </si>
  <si>
    <t>Contact Email - 1</t>
  </si>
  <si>
    <t>email: sunambiar@indianoil.co.in</t>
  </si>
  <si>
    <t>Contact Email - 2</t>
  </si>
  <si>
    <t>email: msrana@indianoil.in</t>
  </si>
  <si>
    <t>Sale of Tender</t>
  </si>
  <si>
    <t>Tender Sale Period From (date &amp; time)</t>
  </si>
  <si>
    <t>DD-MMM-YYYY at HH:MM \H\r\s I\ST</t>
  </si>
  <si>
    <t>Tender Sale Period Upto (date &amp; time)</t>
  </si>
  <si>
    <t>Sale Hours</t>
  </si>
  <si>
    <t>on all working hours of days between Monday to Friday during 10:30 to 13:00 &amp; 14:00 to 14:30</t>
  </si>
  <si>
    <t>Tender Fee (in Figs.)</t>
  </si>
  <si>
    <t>##,##,###</t>
  </si>
  <si>
    <t>Tender Fee (in Words)</t>
  </si>
  <si>
    <t>Two Thousand</t>
  </si>
  <si>
    <t>DD in favour of</t>
  </si>
  <si>
    <t>M/s Indian Oil Corporation Ltd., payable at Mumbai</t>
  </si>
  <si>
    <t>Address of Cash Secion</t>
  </si>
  <si>
    <t>Cash Section (Line 1)</t>
  </si>
  <si>
    <r>
      <t>4th</t>
    </r>
    <r>
      <rPr>
        <b/>
        <sz val="14"/>
        <color theme="1"/>
        <rFont val="Arial"/>
        <family val="2"/>
      </rPr>
      <t xml:space="preserve"> </t>
    </r>
    <r>
      <rPr>
        <sz val="11"/>
        <color theme="1"/>
        <rFont val="Arial"/>
        <family val="2"/>
      </rPr>
      <t>Floor, Indian Oil Bhavan,</t>
    </r>
  </si>
  <si>
    <t>Cash Section (Line 2)</t>
  </si>
  <si>
    <t>Cash Section (Line 3)</t>
  </si>
  <si>
    <t>Cash Section (Line 4)</t>
  </si>
  <si>
    <t>Cash Section (Line 5)</t>
  </si>
  <si>
    <t>Estimated Value</t>
  </si>
  <si>
    <t>Estimate Value (in Figures)</t>
  </si>
  <si>
    <t>##,##,##0.00</t>
  </si>
  <si>
    <t>Unit (Eg: Lakhs/Crores etc.) :</t>
  </si>
  <si>
    <t>Crores</t>
  </si>
  <si>
    <t>Estimate Value (in Words)</t>
  </si>
  <si>
    <t>Fifty Three Crores Forty Eight Lakhs</t>
  </si>
  <si>
    <t>EMD</t>
  </si>
  <si>
    <t>Earnest Money Deposit (in Figs)</t>
  </si>
  <si>
    <t>##,##,##0.0</t>
  </si>
  <si>
    <t>Lakhs</t>
  </si>
  <si>
    <t>Earnest Money Deposit (in Words)</t>
  </si>
  <si>
    <t>Five Crores Thirty Four Lakhs Eighty Thousand</t>
  </si>
  <si>
    <t>BG permissibility for above (in Figs.)</t>
  </si>
  <si>
    <t>BG permissibility for above (in Words)</t>
  </si>
  <si>
    <t>One</t>
  </si>
  <si>
    <t>Earnest Money Deposit Validity</t>
  </si>
  <si>
    <t>4 (four) months</t>
  </si>
  <si>
    <t>Pre-Bid</t>
  </si>
  <si>
    <t>Pre-Bid Conference (date &amp; time)</t>
  </si>
  <si>
    <t>Pre-Bid Conference Venue (Line 1)</t>
  </si>
  <si>
    <t>Pre-Bid Conference Venue (Line 2)</t>
  </si>
  <si>
    <t>Pre-Bid Conference Venue (Line 3)</t>
  </si>
  <si>
    <t>Pre-Bid Conference Venue (Line 4)</t>
  </si>
  <si>
    <t>Pre-Bid Conference Venue (Line 5)</t>
  </si>
  <si>
    <t>Submission &amp; Opening</t>
  </si>
  <si>
    <t>Submission of Tender (date &amp; time)</t>
  </si>
  <si>
    <t>Opening of Tender (date &amp; time)</t>
  </si>
  <si>
    <t>Location of Tender Box</t>
  </si>
  <si>
    <t>in the Tender Box  of (Information Systems) kept near the gate at the Main Entrance of IOCL</t>
  </si>
  <si>
    <t>Purchase Order</t>
  </si>
  <si>
    <t>Confirmation of receipt of LOI</t>
  </si>
  <si>
    <t>14 (fourteen) days</t>
  </si>
  <si>
    <t>Completion</t>
  </si>
  <si>
    <t>Work Completion time (weeks)</t>
  </si>
  <si>
    <t>8 (eight) weeks</t>
  </si>
  <si>
    <t>Notice for Factory Acceptance Test</t>
  </si>
  <si>
    <t>7 (seven) weeks</t>
  </si>
  <si>
    <t>Compensation for delayed Completion</t>
  </si>
  <si>
    <t>For any delay in completion of the work beyond the completion time stipulated, the contractual price payable by IOCL shall be subject to adjustment by way of discount in price by a sum equivalent to not more than 10% of the total contract value at the rate of ½% (half per cent) of the Purchase/Work Order value per week or part thereof of delay beyond the stipulated schedule date of completion</t>
  </si>
  <si>
    <t>Payment</t>
  </si>
  <si>
    <t>Payment Schedule - Part 1</t>
  </si>
  <si>
    <t>Seventy percent (70%)</t>
  </si>
  <si>
    <t>Payment Schedule - Part 2</t>
  </si>
  <si>
    <t>Twenty percent (20%)</t>
  </si>
  <si>
    <t>Payment Schedule - Part 3</t>
  </si>
  <si>
    <t>Ten percent (10%)</t>
  </si>
  <si>
    <t>Payment Schedule - Part 3 - retention period</t>
  </si>
  <si>
    <t>39 (thirty nine) calendar months</t>
  </si>
  <si>
    <t>Qualifying Parameters</t>
  </si>
  <si>
    <t>Experience Years</t>
  </si>
  <si>
    <t>Two (2) years ending 31st March 2010</t>
  </si>
  <si>
    <t>Experience</t>
  </si>
  <si>
    <t>experience of having successfully completed supplies of Servers and / or Storage (SAN) equipments with warranty support</t>
  </si>
  <si>
    <t>Previous One Order of Amount</t>
  </si>
  <si>
    <t>Previous Two Orders of Amount</t>
  </si>
  <si>
    <t>Previous Three Orders of Amount</t>
  </si>
  <si>
    <t>Turn-over Year 1</t>
  </si>
  <si>
    <t>2007-08</t>
  </si>
  <si>
    <t>Turn-over Year 2</t>
  </si>
  <si>
    <t>2008-09</t>
  </si>
  <si>
    <t>Turn-over Year 3</t>
  </si>
  <si>
    <t>2009-10</t>
  </si>
  <si>
    <t>Average Annual Turnover Condition</t>
  </si>
  <si>
    <t>Annual Turnover Amount</t>
  </si>
  <si>
    <t>Warranty</t>
  </si>
  <si>
    <t>Warranty Years</t>
  </si>
  <si>
    <t>3 (three) years</t>
  </si>
  <si>
    <t xml:space="preserve">Warranty From </t>
  </si>
  <si>
    <t>date of completion of installation of the last Server and SAN storage that is duly certified by IOCL</t>
  </si>
  <si>
    <t>Call to be attended within</t>
  </si>
  <si>
    <t>4 (four) hours</t>
  </si>
  <si>
    <t>Resolution within</t>
  </si>
  <si>
    <t>24 (twenty four) hours</t>
  </si>
  <si>
    <t>FailureOfParts</t>
  </si>
  <si>
    <t>48 (forty eight) hours</t>
  </si>
  <si>
    <t>Penalty for delayed resolution</t>
  </si>
  <si>
    <t>the Number of Days of such delay, divided by the total Warranty Period in days and multiplied by Value of the Performance Guarantee</t>
  </si>
  <si>
    <t>Taxes &amp; Levies</t>
  </si>
  <si>
    <t>VAT Percentage</t>
  </si>
  <si>
    <t>##0.00\%</t>
  </si>
  <si>
    <t>Octroi Percentage</t>
  </si>
  <si>
    <t>##0.0\%</t>
  </si>
  <si>
    <t>Security Deposit</t>
  </si>
  <si>
    <t>SD Value</t>
  </si>
  <si>
    <t>10% (ten percent)</t>
  </si>
  <si>
    <t>Deposit within</t>
  </si>
  <si>
    <t>SD Bank Guarantee Validity</t>
  </si>
  <si>
    <t>6 (six) calendar months</t>
  </si>
  <si>
    <t>Performance Guarantee</t>
  </si>
  <si>
    <t>PG Value</t>
  </si>
  <si>
    <t>Performance Bank Guarantee Validity</t>
  </si>
  <si>
    <t>Compensation for Performance deficiencies</t>
  </si>
  <si>
    <t>the Number of Days of experiencing of such deficiencies continually or otherwise even after duly informing the vendor of the same, divided by the total Warranty Period in days and multiplied by Value of the Performance Guarantee</t>
  </si>
  <si>
    <t>PageHeader</t>
  </si>
  <si>
    <t>Web_site</t>
  </si>
  <si>
    <t>AddressedTo</t>
  </si>
  <si>
    <t>OfficeAddr1</t>
  </si>
  <si>
    <t>OfficeAddr2</t>
  </si>
  <si>
    <t>OfficeAddr3</t>
  </si>
  <si>
    <t>OfficeAddr4</t>
  </si>
  <si>
    <t>OfficeAddr5</t>
  </si>
  <si>
    <t>CurrencyWords</t>
  </si>
  <si>
    <t>TenderNo</t>
  </si>
  <si>
    <t>TenderDate</t>
  </si>
  <si>
    <t>NameOfTender</t>
  </si>
  <si>
    <t>ContactPerson1</t>
  </si>
  <si>
    <t>ContactEmail1</t>
  </si>
  <si>
    <t>ContactPerson2</t>
  </si>
  <si>
    <t>ContactEmail2</t>
  </si>
  <si>
    <t>TenderSaleFrom</t>
  </si>
  <si>
    <t>TenderSaleUpto</t>
  </si>
  <si>
    <t>TenderSaleDuring</t>
  </si>
  <si>
    <t>TenderFee</t>
  </si>
  <si>
    <t>TenderFeeWords</t>
  </si>
  <si>
    <t>PmntInFavourOf</t>
  </si>
  <si>
    <t>CashSec_Addr1</t>
  </si>
  <si>
    <t>CashSec_Addr2</t>
  </si>
  <si>
    <t>CashSec_Addr3</t>
  </si>
  <si>
    <t>CashSec_Addr4</t>
  </si>
  <si>
    <t>CashSec_Addr5</t>
  </si>
  <si>
    <t>EstimateFigs</t>
  </si>
  <si>
    <t>EstimateUnit</t>
  </si>
  <si>
    <t>EstimateWords</t>
  </si>
  <si>
    <t>EMDFigs</t>
  </si>
  <si>
    <t>EMDUnit</t>
  </si>
  <si>
    <t>EMDWords</t>
  </si>
  <si>
    <t>EMDBGMinFigs</t>
  </si>
  <si>
    <t>EMDBGMinUnit</t>
  </si>
  <si>
    <t>EMDMinWords</t>
  </si>
  <si>
    <t>EMDValidity</t>
  </si>
  <si>
    <t>PreBidDateTime</t>
  </si>
  <si>
    <t>PreBidVenueAddr1</t>
  </si>
  <si>
    <t>PreBidVenueAddr2</t>
  </si>
  <si>
    <t>PreBidVenueAddr3</t>
  </si>
  <si>
    <t>PreBidVenueAddr4</t>
  </si>
  <si>
    <t>PreBidVenueAddr5</t>
  </si>
  <si>
    <t>SubmitDateTime</t>
  </si>
  <si>
    <t>OpenDateTime</t>
  </si>
  <si>
    <t>TenderBoxLocn</t>
  </si>
  <si>
    <t>ReceiptOfLOI</t>
  </si>
  <si>
    <t>WorkCompletion</t>
  </si>
  <si>
    <t>FAT</t>
  </si>
  <si>
    <t>CompletionDelay</t>
  </si>
  <si>
    <t>PmntSchedule_1</t>
  </si>
  <si>
    <t>PmntSchedule_2</t>
  </si>
  <si>
    <t>PmntSchedule_3</t>
  </si>
  <si>
    <t>PmntSchedule_3_retention</t>
  </si>
  <si>
    <t>ExperienceYrs</t>
  </si>
  <si>
    <t>Order_1_Amt</t>
  </si>
  <si>
    <t>Order_1_Unit</t>
  </si>
  <si>
    <t>Order_2_Amt</t>
  </si>
  <si>
    <t>Order_2_Unit</t>
  </si>
  <si>
    <t>Order_3_Amt</t>
  </si>
  <si>
    <t>Order_3_Unit</t>
  </si>
  <si>
    <t>TurnOverYr1</t>
  </si>
  <si>
    <t>TurnOverYr2</t>
  </si>
  <si>
    <t>TurnOverYr3</t>
  </si>
  <si>
    <t>AvgTurnOverCond</t>
  </si>
  <si>
    <t>AvgTurnOverAmt</t>
  </si>
  <si>
    <t>AvgTurnOverUnit</t>
  </si>
  <si>
    <t>WarrantyYrs</t>
  </si>
  <si>
    <t>WarrantyFrom</t>
  </si>
  <si>
    <t>CallAttendHrs</t>
  </si>
  <si>
    <t>CallResolveHrs</t>
  </si>
  <si>
    <t>FailOfParts</t>
  </si>
  <si>
    <t>PenaltyDelayInAttn</t>
  </si>
  <si>
    <t>VAT</t>
  </si>
  <si>
    <t>Octroi</t>
  </si>
  <si>
    <t>SDpercent</t>
  </si>
  <si>
    <t>SDwithinDays</t>
  </si>
  <si>
    <t>SD_BGvalidity</t>
  </si>
  <si>
    <t>PGvalue</t>
  </si>
  <si>
    <t>PBGvalidity</t>
  </si>
  <si>
    <t>Perf_Deficient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</si>
</sst>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ss"/>
  </numFmts>
  <fonts count="5">
    <font>
      <sz val="11"/>
      <color theme="1"/>
      <name val="Calibri"/>
      <family val="2"/>
      <scheme val="minor"/>
    </font>
    <font>
      <sz val="11"/>
      <color theme="1"/>
      <name val="Arial"/>
      <family val="2"/>
    </font>
    <font>
      <b/>
      <sz val="14"/>
      <color theme="1"/>
      <name val="Arial"/>
      <family val="2"/>
    </font>
    <font>
      <vertAlign val="superscript"/>
      <sz val="14"/>
      <color theme="1"/>
      <name val="Arial"/>
      <family val="2"/>
    </font>
    <font>
      <u/>
      <sz val="11"/>
      <color theme="10"/>
      <name val="Calibri"/>
      <family val="2"/>
    </font>
  </fonts>
  <fills count="4">
    <fill>
      <patternFill patternType="none"/>
    </fill>
    <fill>
      <patternFill patternType="gray125"/>
    </fill>
    <fill>
      <patternFill patternType="solid">
        <fgColor rgb="FFFFFF00"/>
        <bgColor indexed="64"/>
      </patternFill>
    </fill>
    <fill>
      <patternFill patternType="solid">
        <fgColor theme="6" tint="0.59999389629810485"/>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alignment vertical="top"/>
      <protection locked="0"/>
    </xf>
  </cellStyleXfs>
  <cellXfs count="19">
    <xf numFmtId="0" fontId="0" fillId="0" borderId="0" xfId="0"/>
    <xf numFmtId="0" fontId="0" fillId="0" borderId="0" xfId="0" applyAlignment="1">
      <alignment vertical="center" wrapText="1"/>
    </xf>
    <xf numFmtId="0" fontId="0" fillId="2" borderId="0" xfId="0" applyFill="1" applyAlignment="1" applyProtection="1">
      <alignment horizontal="justify" vertical="top" wrapText="1"/>
      <protection locked="0"/>
    </xf>
    <xf numFmtId="0" fontId="0" fillId="2" borderId="0" xfId="0" applyFill="1" applyAlignment="1" applyProtection="1">
      <alignment vertical="center" wrapText="1"/>
      <protection locked="0"/>
    </xf>
    <xf numFmtId="164" fontId="0" fillId="2" borderId="0" xfId="0" applyNumberFormat="1" applyFill="1" applyAlignment="1" applyProtection="1">
      <alignment horizontal="center" vertical="top" wrapText="1"/>
      <protection locked="0"/>
    </xf>
    <xf numFmtId="0" fontId="0" fillId="0" borderId="0" xfId="0" applyAlignment="1">
      <alignment horizontal="right" vertical="center" wrapText="1"/>
    </xf>
    <xf numFmtId="0" fontId="0" fillId="2" borderId="0" xfId="0" applyFill="1" applyAlignment="1" applyProtection="1">
      <alignment horizontal="center" vertical="top" wrapText="1"/>
      <protection locked="0"/>
    </xf>
    <xf numFmtId="0" fontId="0" fillId="0" borderId="0" xfId="0" applyAlignment="1">
      <alignment horizontal="center"/>
    </xf>
    <xf numFmtId="0" fontId="0" fillId="3" borderId="0" xfId="0" applyFill="1" applyAlignment="1">
      <alignment vertical="center" wrapText="1"/>
    </xf>
    <xf numFmtId="0" fontId="0" fillId="0" borderId="0" xfId="0" applyAlignment="1">
      <alignment vertical="center"/>
    </xf>
    <xf numFmtId="0" fontId="0" fillId="2" borderId="0" xfId="0" applyFill="1" applyAlignment="1" applyProtection="1">
      <alignment horizontal="left" wrapText="1"/>
      <protection locked="0"/>
    </xf>
    <xf numFmtId="0" fontId="4" fillId="2" borderId="0" xfId="1" applyFill="1" applyAlignment="1" applyProtection="1">
      <alignment horizontal="left" wrapText="1"/>
      <protection locked="0"/>
    </xf>
    <xf numFmtId="0" fontId="0" fillId="0" borderId="0" xfId="0" applyAlignment="1">
      <alignment horizontal="center" wrapText="1"/>
    </xf>
    <xf numFmtId="164" fontId="0" fillId="2" borderId="0" xfId="0" applyNumberFormat="1" applyFill="1" applyAlignment="1" applyProtection="1">
      <alignment horizontal="justify" vertical="top" wrapText="1"/>
      <protection locked="0"/>
    </xf>
    <xf numFmtId="0" fontId="0" fillId="2" borderId="0" xfId="0" applyFill="1" applyAlignment="1" applyProtection="1">
      <alignment horizontal="center" wrapText="1"/>
      <protection locked="0"/>
    </xf>
    <xf numFmtId="0" fontId="0" fillId="0" borderId="0" xfId="0" applyAlignment="1" applyProtection="1">
      <alignment horizontal="center"/>
      <protection locked="0"/>
    </xf>
    <xf numFmtId="0" fontId="0" fillId="0" borderId="0" xfId="0" applyAlignment="1">
      <alignment vertical="top"/>
    </xf>
    <xf numFmtId="9" fontId="0" fillId="0" borderId="0" xfId="0" applyNumberFormat="1" applyAlignment="1">
      <alignment vertical="top"/>
    </xf>
    <xf numFmtId="0" fontId="0" fillId="0" borderId="0" xfId="0" applyAlignment="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indianoiltenders.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4"/>
  <sheetViews>
    <sheetView tabSelected="1" topLeftCell="A51" workbookViewId="0">
      <selection activeCell="K66" sqref="K66"/>
    </sheetView>
  </sheetViews>
  <sheetFormatPr defaultRowHeight="15"/>
  <cols>
    <col min="1" max="1" width="3" style="9" bestFit="1" customWidth="1"/>
    <col min="2" max="2" width="4.140625" style="7" hidden="1" customWidth="1"/>
    <col min="3" max="3" width="15.42578125" style="1" customWidth="1"/>
    <col min="4" max="4" width="25.42578125" style="1" customWidth="1"/>
    <col min="5" max="5" width="33.28515625" style="2" customWidth="1"/>
    <col min="6" max="6" width="17.5703125" style="12" bestFit="1" customWidth="1"/>
    <col min="7" max="7" width="15.5703125" style="5" customWidth="1"/>
    <col min="8" max="8" width="21.85546875" style="2" customWidth="1"/>
    <col min="9" max="9" width="9.140625" style="16"/>
  </cols>
  <sheetData>
    <row r="1" spans="1:8">
      <c r="C1" s="7"/>
      <c r="D1" s="7"/>
      <c r="E1" s="15"/>
      <c r="F1" s="12" t="s">
        <v>0</v>
      </c>
      <c r="G1" s="12"/>
      <c r="H1" s="15"/>
    </row>
    <row r="2" spans="1:8" ht="30">
      <c r="A2" s="9">
        <v>1</v>
      </c>
      <c r="B2" s="7" t="str">
        <f>IF(A2&gt;26,CHAR(64+INT((A2-1)/26))&amp;CHAR(65+MOD(A2-1,26)),CHAR(65+MOD(A2-1,26)))</f>
        <v>A</v>
      </c>
      <c r="C2" s="9" t="s">
        <v>1</v>
      </c>
      <c r="D2" s="9" t="s">
        <v>2</v>
      </c>
      <c r="E2" s="10" t="s">
        <v>3</v>
      </c>
      <c r="G2" s="12"/>
      <c r="H2" s="15"/>
    </row>
    <row r="3" spans="1:8">
      <c r="A3" s="9">
        <v>2</v>
      </c>
      <c r="B3" s="7" t="str">
        <f t="shared" ref="B3:B68" si="0">IF(A3&gt;26,CHAR(64+INT((A3-1)/26))&amp;CHAR(65+MOD(A3-1,26)),CHAR(65+MOD(A3-1,26)))</f>
        <v>B</v>
      </c>
      <c r="C3" s="9" t="s">
        <v>4</v>
      </c>
      <c r="D3" s="9" t="s">
        <v>5</v>
      </c>
      <c r="E3" s="11" t="s">
        <v>6</v>
      </c>
      <c r="G3" s="12"/>
      <c r="H3" s="15"/>
    </row>
    <row r="4" spans="1:8" ht="30">
      <c r="A4" s="9">
        <v>3</v>
      </c>
      <c r="B4" s="7" t="str">
        <f t="shared" si="0"/>
        <v>C</v>
      </c>
      <c r="C4" s="18" t="s">
        <v>7</v>
      </c>
      <c r="D4" s="8" t="s">
        <v>8</v>
      </c>
      <c r="E4" s="2" t="s">
        <v>9</v>
      </c>
      <c r="G4" s="12"/>
      <c r="H4" s="15"/>
    </row>
    <row r="5" spans="1:8" ht="35.25">
      <c r="A5" s="9">
        <v>4</v>
      </c>
      <c r="B5" s="7" t="str">
        <f t="shared" si="0"/>
        <v>D</v>
      </c>
      <c r="C5" s="18"/>
      <c r="D5" s="8" t="s">
        <v>10</v>
      </c>
      <c r="E5" s="2" t="s">
        <v>11</v>
      </c>
      <c r="G5" s="12"/>
      <c r="H5" s="15"/>
    </row>
    <row r="6" spans="1:8">
      <c r="A6" s="9">
        <v>5</v>
      </c>
      <c r="B6" s="7" t="str">
        <f t="shared" si="0"/>
        <v>E</v>
      </c>
      <c r="C6" s="18"/>
      <c r="D6" s="8" t="s">
        <v>12</v>
      </c>
      <c r="E6" s="2" t="s">
        <v>13</v>
      </c>
      <c r="G6" s="12"/>
      <c r="H6" s="15"/>
    </row>
    <row r="7" spans="1:8">
      <c r="A7" s="9">
        <v>6</v>
      </c>
      <c r="B7" s="7" t="str">
        <f t="shared" si="0"/>
        <v>F</v>
      </c>
      <c r="C7" s="18"/>
      <c r="D7" s="8" t="s">
        <v>14</v>
      </c>
      <c r="E7" s="2" t="s">
        <v>15</v>
      </c>
      <c r="G7" s="12"/>
      <c r="H7" s="15"/>
    </row>
    <row r="8" spans="1:8">
      <c r="A8" s="9">
        <v>7</v>
      </c>
      <c r="B8" s="7" t="str">
        <f t="shared" si="0"/>
        <v>G</v>
      </c>
      <c r="C8" s="18"/>
      <c r="D8" s="8" t="s">
        <v>16</v>
      </c>
      <c r="E8" s="2" t="s">
        <v>17</v>
      </c>
      <c r="G8" s="12"/>
      <c r="H8" s="15"/>
    </row>
    <row r="9" spans="1:8">
      <c r="A9" s="9">
        <v>8</v>
      </c>
      <c r="B9" s="7" t="str">
        <f t="shared" si="0"/>
        <v>H</v>
      </c>
      <c r="C9" s="18"/>
      <c r="D9" s="8" t="s">
        <v>18</v>
      </c>
      <c r="E9" s="2" t="s">
        <v>19</v>
      </c>
      <c r="G9" s="12"/>
      <c r="H9" s="15"/>
    </row>
    <row r="10" spans="1:8" ht="30">
      <c r="A10" s="9">
        <v>9</v>
      </c>
      <c r="B10" s="7" t="str">
        <f t="shared" si="0"/>
        <v>I</v>
      </c>
      <c r="C10" s="1" t="s">
        <v>20</v>
      </c>
      <c r="D10" s="1" t="s">
        <v>21</v>
      </c>
      <c r="E10" s="2" t="s">
        <v>22</v>
      </c>
      <c r="G10" s="5" t="s">
        <v>23</v>
      </c>
      <c r="H10" s="3" t="s">
        <v>24</v>
      </c>
    </row>
    <row r="11" spans="1:8">
      <c r="A11" s="9">
        <v>10</v>
      </c>
      <c r="B11" s="7" t="str">
        <f t="shared" si="0"/>
        <v>J</v>
      </c>
      <c r="D11" s="1" t="s">
        <v>25</v>
      </c>
      <c r="E11" s="6" t="s">
        <v>26</v>
      </c>
    </row>
    <row r="12" spans="1:8">
      <c r="A12" s="9">
        <v>11</v>
      </c>
      <c r="B12" s="7" t="str">
        <f t="shared" si="0"/>
        <v>K</v>
      </c>
      <c r="D12" s="1" t="s">
        <v>27</v>
      </c>
      <c r="E12" s="4">
        <v>46006</v>
      </c>
      <c r="F12" s="14" t="s">
        <v>28</v>
      </c>
    </row>
    <row r="13" spans="1:8" ht="75">
      <c r="A13" s="9">
        <v>12</v>
      </c>
      <c r="B13" s="7" t="str">
        <f t="shared" si="0"/>
        <v>L</v>
      </c>
      <c r="D13" s="1" t="s">
        <v>29</v>
      </c>
      <c r="E13" s="2" t="s">
        <v>30</v>
      </c>
    </row>
    <row r="14" spans="1:8" ht="30">
      <c r="A14" s="9">
        <v>13</v>
      </c>
      <c r="B14" s="7" t="str">
        <f t="shared" si="0"/>
        <v>M</v>
      </c>
      <c r="C14" s="18" t="s">
        <v>31</v>
      </c>
      <c r="D14" s="1" t="s">
        <v>32</v>
      </c>
      <c r="E14" s="2" t="s">
        <v>33</v>
      </c>
      <c r="G14" s="5" t="s">
        <v>34</v>
      </c>
      <c r="H14" s="2" t="s">
        <v>35</v>
      </c>
    </row>
    <row r="15" spans="1:8" ht="30">
      <c r="A15" s="9">
        <v>14</v>
      </c>
      <c r="B15" s="7" t="str">
        <f t="shared" si="0"/>
        <v>N</v>
      </c>
      <c r="C15" s="18"/>
      <c r="D15" s="1" t="s">
        <v>36</v>
      </c>
      <c r="E15" s="2" t="s">
        <v>37</v>
      </c>
      <c r="G15" s="5" t="s">
        <v>38</v>
      </c>
      <c r="H15" s="2" t="s">
        <v>39</v>
      </c>
    </row>
    <row r="16" spans="1:8" ht="30">
      <c r="A16" s="9">
        <v>15</v>
      </c>
      <c r="B16" s="7" t="str">
        <f t="shared" si="0"/>
        <v>O</v>
      </c>
      <c r="C16" s="18" t="s">
        <v>40</v>
      </c>
      <c r="D16" s="1" t="s">
        <v>41</v>
      </c>
      <c r="E16" s="4">
        <f>E12+TIME(10,0,0)+3</f>
        <v>46009.416666666664</v>
      </c>
      <c r="F16" s="14" t="s">
        <v>42</v>
      </c>
    </row>
    <row r="17" spans="1:8" ht="30">
      <c r="A17" s="9">
        <v>16</v>
      </c>
      <c r="B17" s="7" t="str">
        <f t="shared" si="0"/>
        <v>P</v>
      </c>
      <c r="C17" s="18"/>
      <c r="D17" s="1" t="s">
        <v>43</v>
      </c>
      <c r="E17" s="4">
        <f>+E16+TIME(5,0,0)+12</f>
        <v>46021.625</v>
      </c>
      <c r="F17" s="14" t="s">
        <v>42</v>
      </c>
    </row>
    <row r="18" spans="1:8" ht="45">
      <c r="A18" s="9">
        <v>17</v>
      </c>
      <c r="B18" s="7" t="str">
        <f t="shared" si="0"/>
        <v>Q</v>
      </c>
      <c r="C18" s="18"/>
      <c r="D18" s="1" t="s">
        <v>44</v>
      </c>
      <c r="E18" s="4" t="s">
        <v>45</v>
      </c>
    </row>
    <row r="19" spans="1:8">
      <c r="A19" s="9">
        <v>18</v>
      </c>
      <c r="B19" s="7" t="str">
        <f t="shared" si="0"/>
        <v>R</v>
      </c>
      <c r="C19" s="18"/>
      <c r="D19" s="1" t="s">
        <v>46</v>
      </c>
      <c r="E19" s="6">
        <v>0</v>
      </c>
      <c r="F19" s="14" t="s">
        <v>47</v>
      </c>
    </row>
    <row r="20" spans="1:8">
      <c r="A20" s="9">
        <v>19</v>
      </c>
      <c r="B20" s="7" t="str">
        <f t="shared" si="0"/>
        <v>S</v>
      </c>
      <c r="C20" s="18"/>
      <c r="D20" s="1" t="s">
        <v>48</v>
      </c>
      <c r="E20" s="6" t="s">
        <v>49</v>
      </c>
    </row>
    <row r="21" spans="1:8" ht="30">
      <c r="A21" s="9">
        <v>20</v>
      </c>
      <c r="B21" s="7" t="str">
        <f t="shared" si="0"/>
        <v>T</v>
      </c>
      <c r="C21" s="18"/>
      <c r="D21" s="1" t="s">
        <v>50</v>
      </c>
      <c r="E21" s="6" t="s">
        <v>51</v>
      </c>
      <c r="F21" s="14" t="s">
        <v>47</v>
      </c>
    </row>
    <row r="22" spans="1:8" ht="18">
      <c r="A22" s="9">
        <v>21</v>
      </c>
      <c r="B22" s="7" t="str">
        <f t="shared" si="0"/>
        <v>U</v>
      </c>
      <c r="C22" s="18" t="s">
        <v>52</v>
      </c>
      <c r="D22" s="8" t="s">
        <v>53</v>
      </c>
      <c r="E22" s="2" t="s">
        <v>54</v>
      </c>
      <c r="G22" s="12"/>
      <c r="H22" s="15"/>
    </row>
    <row r="23" spans="1:8">
      <c r="A23" s="9">
        <v>22</v>
      </c>
      <c r="B23" s="7" t="str">
        <f t="shared" si="0"/>
        <v>V</v>
      </c>
      <c r="C23" s="18"/>
      <c r="D23" s="8" t="s">
        <v>55</v>
      </c>
      <c r="E23" s="2" t="str">
        <f>E6</f>
        <v>IndianOil Corporation Limited,</v>
      </c>
      <c r="G23" s="12"/>
      <c r="H23" s="15"/>
    </row>
    <row r="24" spans="1:8">
      <c r="A24" s="9">
        <v>23</v>
      </c>
      <c r="B24" s="7" t="str">
        <f t="shared" si="0"/>
        <v>W</v>
      </c>
      <c r="C24" s="18"/>
      <c r="D24" s="8" t="s">
        <v>56</v>
      </c>
      <c r="E24" s="2" t="str">
        <f t="shared" ref="E24:E26" si="1">E7</f>
        <v xml:space="preserve">(Marketing Division) – Head Office, </v>
      </c>
      <c r="G24" s="12"/>
      <c r="H24" s="15"/>
    </row>
    <row r="25" spans="1:8">
      <c r="A25" s="9">
        <v>24</v>
      </c>
      <c r="B25" s="7" t="str">
        <f t="shared" si="0"/>
        <v>X</v>
      </c>
      <c r="C25" s="18"/>
      <c r="D25" s="8" t="s">
        <v>57</v>
      </c>
      <c r="E25" s="2" t="str">
        <f t="shared" si="1"/>
        <v>G-9, Ali Yavar Jung Marg,</v>
      </c>
      <c r="G25" s="12"/>
      <c r="H25" s="15"/>
    </row>
    <row r="26" spans="1:8">
      <c r="A26" s="9">
        <v>25</v>
      </c>
      <c r="B26" s="7" t="str">
        <f t="shared" si="0"/>
        <v>Y</v>
      </c>
      <c r="C26" s="18"/>
      <c r="D26" s="8" t="s">
        <v>58</v>
      </c>
      <c r="E26" s="2" t="str">
        <f t="shared" si="1"/>
        <v>Bandra (East), Mumbai - 400 051</v>
      </c>
      <c r="G26" s="12"/>
      <c r="H26" s="15"/>
    </row>
    <row r="27" spans="1:8" ht="45">
      <c r="A27" s="9">
        <v>26</v>
      </c>
      <c r="B27" s="7" t="str">
        <f t="shared" si="0"/>
        <v>Z</v>
      </c>
      <c r="C27" s="18" t="s">
        <v>59</v>
      </c>
      <c r="D27" s="1" t="s">
        <v>60</v>
      </c>
      <c r="E27" s="6">
        <v>53.48</v>
      </c>
      <c r="F27" s="14" t="s">
        <v>61</v>
      </c>
      <c r="G27" s="5" t="s">
        <v>62</v>
      </c>
      <c r="H27" s="2" t="s">
        <v>63</v>
      </c>
    </row>
    <row r="28" spans="1:8">
      <c r="A28" s="9">
        <v>27</v>
      </c>
      <c r="B28" s="7" t="str">
        <f t="shared" si="0"/>
        <v>AA</v>
      </c>
      <c r="C28" s="18"/>
      <c r="D28" s="1" t="s">
        <v>64</v>
      </c>
      <c r="E28" s="2" t="s">
        <v>65</v>
      </c>
    </row>
    <row r="29" spans="1:8" ht="45">
      <c r="A29" s="9">
        <v>28</v>
      </c>
      <c r="B29" s="7" t="str">
        <f t="shared" si="0"/>
        <v>AB</v>
      </c>
      <c r="C29" s="18" t="s">
        <v>66</v>
      </c>
      <c r="D29" s="1" t="s">
        <v>67</v>
      </c>
      <c r="E29" s="6">
        <f>E27*10%*100</f>
        <v>534.79999999999995</v>
      </c>
      <c r="F29" s="14" t="s">
        <v>68</v>
      </c>
      <c r="G29" s="5" t="s">
        <v>62</v>
      </c>
      <c r="H29" s="2" t="s">
        <v>69</v>
      </c>
    </row>
    <row r="30" spans="1:8" ht="30">
      <c r="A30" s="9">
        <v>29</v>
      </c>
      <c r="B30" s="7" t="str">
        <f t="shared" si="0"/>
        <v>AC</v>
      </c>
      <c r="C30" s="18"/>
      <c r="D30" s="1" t="s">
        <v>70</v>
      </c>
      <c r="E30" s="6" t="s">
        <v>71</v>
      </c>
    </row>
    <row r="31" spans="1:8" ht="45">
      <c r="C31" s="18"/>
      <c r="D31" s="1" t="s">
        <v>72</v>
      </c>
      <c r="E31" s="6">
        <v>1</v>
      </c>
      <c r="F31" s="14" t="s">
        <v>68</v>
      </c>
      <c r="G31" s="5" t="s">
        <v>62</v>
      </c>
      <c r="H31" s="2" t="s">
        <v>69</v>
      </c>
    </row>
    <row r="32" spans="1:8" ht="45">
      <c r="C32" s="18"/>
      <c r="D32" s="1" t="s">
        <v>73</v>
      </c>
      <c r="E32" s="6" t="s">
        <v>74</v>
      </c>
      <c r="G32" s="5" t="s">
        <v>62</v>
      </c>
      <c r="H32" s="2" t="s">
        <v>69</v>
      </c>
    </row>
    <row r="33" spans="1:8" ht="30">
      <c r="A33" s="9">
        <v>30</v>
      </c>
      <c r="B33" s="7" t="str">
        <f t="shared" si="0"/>
        <v>AD</v>
      </c>
      <c r="C33" s="18"/>
      <c r="D33" s="1" t="s">
        <v>75</v>
      </c>
      <c r="E33" s="6" t="s">
        <v>76</v>
      </c>
    </row>
    <row r="34" spans="1:8" ht="30">
      <c r="A34" s="9">
        <v>31</v>
      </c>
      <c r="B34" s="7" t="str">
        <f t="shared" si="0"/>
        <v>AE</v>
      </c>
      <c r="C34" s="18" t="s">
        <v>77</v>
      </c>
      <c r="D34" s="1" t="s">
        <v>78</v>
      </c>
      <c r="E34" s="4">
        <f>+E16+TIME(0,30,0)+17</f>
        <v>46026.4375</v>
      </c>
      <c r="F34" s="14" t="s">
        <v>42</v>
      </c>
    </row>
    <row r="35" spans="1:8" ht="30">
      <c r="A35" s="9">
        <v>32</v>
      </c>
      <c r="B35" s="7" t="str">
        <f t="shared" si="0"/>
        <v>AF</v>
      </c>
      <c r="C35" s="18"/>
      <c r="D35" s="8" t="s">
        <v>79</v>
      </c>
      <c r="E35" s="2" t="str">
        <f>E5</f>
        <v>2nd Floor, Information Systems Department,</v>
      </c>
      <c r="H35" s="2" t="str">
        <f>CHAR(65+MOD(A27-1,26))</f>
        <v>Z</v>
      </c>
    </row>
    <row r="36" spans="1:8" ht="30">
      <c r="A36" s="9">
        <v>33</v>
      </c>
      <c r="B36" s="7" t="str">
        <f t="shared" si="0"/>
        <v>AG</v>
      </c>
      <c r="C36" s="18"/>
      <c r="D36" s="8" t="s">
        <v>80</v>
      </c>
      <c r="E36" s="2" t="str">
        <f t="shared" ref="E36:E39" si="2">E6</f>
        <v>IndianOil Corporation Limited,</v>
      </c>
      <c r="H36" s="2">
        <f>MOD(A27,26)</f>
        <v>0</v>
      </c>
    </row>
    <row r="37" spans="1:8" ht="30">
      <c r="A37" s="9">
        <v>34</v>
      </c>
      <c r="B37" s="7" t="str">
        <f t="shared" si="0"/>
        <v>AH</v>
      </c>
      <c r="C37" s="18"/>
      <c r="D37" s="8" t="s">
        <v>81</v>
      </c>
      <c r="E37" s="2" t="str">
        <f t="shared" si="2"/>
        <v xml:space="preserve">(Marketing Division) – Head Office, </v>
      </c>
    </row>
    <row r="38" spans="1:8" ht="30">
      <c r="A38" s="9">
        <v>35</v>
      </c>
      <c r="B38" s="7" t="str">
        <f t="shared" si="0"/>
        <v>AI</v>
      </c>
      <c r="C38" s="18"/>
      <c r="D38" s="8" t="s">
        <v>82</v>
      </c>
      <c r="E38" s="2" t="str">
        <f t="shared" si="2"/>
        <v>G-9, Ali Yavar Jung Marg,</v>
      </c>
    </row>
    <row r="39" spans="1:8" ht="30">
      <c r="A39" s="9">
        <v>36</v>
      </c>
      <c r="B39" s="7" t="str">
        <f t="shared" si="0"/>
        <v>AJ</v>
      </c>
      <c r="C39" s="18"/>
      <c r="D39" s="8" t="s">
        <v>83</v>
      </c>
      <c r="E39" s="2" t="str">
        <f t="shared" si="2"/>
        <v>Bandra (East), Mumbai - 400 051</v>
      </c>
    </row>
    <row r="40" spans="1:8" ht="30">
      <c r="A40" s="9">
        <v>37</v>
      </c>
      <c r="B40" s="7" t="str">
        <f t="shared" si="0"/>
        <v>AK</v>
      </c>
      <c r="C40" s="18" t="s">
        <v>84</v>
      </c>
      <c r="D40" s="1" t="s">
        <v>85</v>
      </c>
      <c r="E40" s="4">
        <f>+E34-TIMEVALUE(TEXT(E34,"hh:mm:ss"))+TIME(15,0,0)+6</f>
        <v>46032.625</v>
      </c>
      <c r="F40" s="14" t="s">
        <v>42</v>
      </c>
    </row>
    <row r="41" spans="1:8" ht="30">
      <c r="A41" s="9">
        <v>38</v>
      </c>
      <c r="B41" s="7" t="str">
        <f t="shared" si="0"/>
        <v>AL</v>
      </c>
      <c r="C41" s="18"/>
      <c r="D41" s="1" t="s">
        <v>86</v>
      </c>
      <c r="E41" s="4">
        <f>+E40+TIME(0,30,0)</f>
        <v>46032.645833333336</v>
      </c>
      <c r="F41" s="14" t="s">
        <v>42</v>
      </c>
    </row>
    <row r="42" spans="1:8" ht="45">
      <c r="A42" s="9">
        <v>39</v>
      </c>
      <c r="B42" s="7" t="str">
        <f t="shared" si="0"/>
        <v>AM</v>
      </c>
      <c r="C42" s="18"/>
      <c r="D42" s="1" t="s">
        <v>87</v>
      </c>
      <c r="E42" s="4" t="s">
        <v>88</v>
      </c>
    </row>
    <row r="43" spans="1:8" ht="30">
      <c r="A43" s="9">
        <v>40</v>
      </c>
      <c r="B43" s="7" t="str">
        <f t="shared" si="0"/>
        <v>AN</v>
      </c>
      <c r="C43" s="1" t="s">
        <v>89</v>
      </c>
      <c r="D43" s="1" t="s">
        <v>90</v>
      </c>
      <c r="E43" s="4" t="s">
        <v>91</v>
      </c>
    </row>
    <row r="44" spans="1:8" ht="30">
      <c r="A44" s="9">
        <v>41</v>
      </c>
      <c r="B44" s="7" t="str">
        <f t="shared" si="0"/>
        <v>AO</v>
      </c>
      <c r="C44" s="18" t="s">
        <v>92</v>
      </c>
      <c r="D44" s="1" t="s">
        <v>93</v>
      </c>
      <c r="E44" s="6" t="s">
        <v>94</v>
      </c>
    </row>
    <row r="45" spans="1:8" ht="30">
      <c r="A45" s="9">
        <v>42</v>
      </c>
      <c r="B45" s="7" t="str">
        <f t="shared" si="0"/>
        <v>AP</v>
      </c>
      <c r="C45" s="18"/>
      <c r="D45" s="1" t="s">
        <v>95</v>
      </c>
      <c r="E45" s="4" t="s">
        <v>96</v>
      </c>
    </row>
    <row r="46" spans="1:8" ht="180">
      <c r="A46" s="9">
        <v>43</v>
      </c>
      <c r="B46" s="7" t="str">
        <f t="shared" si="0"/>
        <v>AQ</v>
      </c>
      <c r="C46" s="18"/>
      <c r="D46" s="1" t="s">
        <v>97</v>
      </c>
      <c r="E46" s="2" t="s">
        <v>98</v>
      </c>
    </row>
    <row r="47" spans="1:8">
      <c r="A47" s="9">
        <v>44</v>
      </c>
      <c r="B47" s="7" t="str">
        <f t="shared" si="0"/>
        <v>AR</v>
      </c>
      <c r="C47" s="18" t="s">
        <v>99</v>
      </c>
      <c r="D47" s="1" t="s">
        <v>100</v>
      </c>
      <c r="E47" s="4" t="s">
        <v>101</v>
      </c>
    </row>
    <row r="48" spans="1:8">
      <c r="A48" s="9">
        <v>45</v>
      </c>
      <c r="B48" s="7" t="str">
        <f t="shared" si="0"/>
        <v>AS</v>
      </c>
      <c r="C48" s="18"/>
      <c r="D48" s="1" t="s">
        <v>102</v>
      </c>
      <c r="E48" s="4" t="s">
        <v>103</v>
      </c>
    </row>
    <row r="49" spans="1:9">
      <c r="A49" s="9">
        <v>46</v>
      </c>
      <c r="B49" s="7" t="str">
        <f t="shared" si="0"/>
        <v>AT</v>
      </c>
      <c r="C49" s="18"/>
      <c r="D49" s="1" t="s">
        <v>104</v>
      </c>
      <c r="E49" s="4" t="s">
        <v>105</v>
      </c>
    </row>
    <row r="50" spans="1:9" ht="30">
      <c r="A50" s="9">
        <v>47</v>
      </c>
      <c r="B50" s="7" t="str">
        <f t="shared" si="0"/>
        <v>AU</v>
      </c>
      <c r="C50" s="18"/>
      <c r="D50" s="1" t="s">
        <v>106</v>
      </c>
      <c r="E50" s="4" t="s">
        <v>107</v>
      </c>
    </row>
    <row r="51" spans="1:9" ht="30">
      <c r="A51" s="9">
        <v>48</v>
      </c>
      <c r="B51" s="7" t="str">
        <f t="shared" si="0"/>
        <v>AV</v>
      </c>
      <c r="C51" s="18" t="s">
        <v>108</v>
      </c>
      <c r="D51" s="1" t="s">
        <v>109</v>
      </c>
      <c r="E51" s="4" t="s">
        <v>110</v>
      </c>
    </row>
    <row r="52" spans="1:9" ht="60">
      <c r="A52" s="9">
        <v>49</v>
      </c>
      <c r="B52" s="7" t="str">
        <f t="shared" si="0"/>
        <v>AW</v>
      </c>
      <c r="C52" s="18"/>
      <c r="D52" s="1" t="s">
        <v>111</v>
      </c>
      <c r="E52" s="2" t="s">
        <v>112</v>
      </c>
    </row>
    <row r="53" spans="1:9" ht="45">
      <c r="A53" s="9">
        <v>50</v>
      </c>
      <c r="B53" s="7" t="str">
        <f t="shared" si="0"/>
        <v>AX</v>
      </c>
      <c r="C53" s="18"/>
      <c r="D53" s="1" t="s">
        <v>113</v>
      </c>
      <c r="E53" s="6">
        <f>ROUND(E27*I53*1,2)</f>
        <v>26.74</v>
      </c>
      <c r="F53" s="14" t="str">
        <f>+F29</f>
        <v>##,##,##0.0</v>
      </c>
      <c r="G53" s="5" t="s">
        <v>62</v>
      </c>
      <c r="H53" s="2" t="s">
        <v>63</v>
      </c>
      <c r="I53" s="17">
        <v>0.5</v>
      </c>
    </row>
    <row r="54" spans="1:9" ht="45">
      <c r="A54" s="9">
        <v>51</v>
      </c>
      <c r="B54" s="7" t="str">
        <f t="shared" si="0"/>
        <v>AY</v>
      </c>
      <c r="C54" s="18"/>
      <c r="D54" s="1" t="s">
        <v>114</v>
      </c>
      <c r="E54" s="6">
        <f>ROUND(E27*I54*1,2)</f>
        <v>21.39</v>
      </c>
      <c r="F54" s="14" t="str">
        <f>+F53</f>
        <v>##,##,##0.0</v>
      </c>
      <c r="G54" s="5" t="s">
        <v>62</v>
      </c>
      <c r="H54" s="2" t="s">
        <v>63</v>
      </c>
      <c r="I54" s="17">
        <v>0.4</v>
      </c>
    </row>
    <row r="55" spans="1:9" ht="45">
      <c r="A55" s="9">
        <v>52</v>
      </c>
      <c r="B55" s="7" t="str">
        <f t="shared" si="0"/>
        <v>AZ</v>
      </c>
      <c r="C55" s="18"/>
      <c r="D55" s="1" t="s">
        <v>115</v>
      </c>
      <c r="E55" s="6">
        <f>ROUND(E27*I55*1,2)</f>
        <v>16.04</v>
      </c>
      <c r="F55" s="14" t="str">
        <f>+F54</f>
        <v>##,##,##0.0</v>
      </c>
      <c r="G55" s="5" t="s">
        <v>62</v>
      </c>
      <c r="H55" s="2" t="s">
        <v>63</v>
      </c>
      <c r="I55" s="17">
        <v>0.3</v>
      </c>
    </row>
    <row r="56" spans="1:9">
      <c r="A56" s="9">
        <v>53</v>
      </c>
      <c r="B56" s="7" t="str">
        <f t="shared" si="0"/>
        <v>BA</v>
      </c>
      <c r="C56" s="18"/>
      <c r="D56" s="1" t="s">
        <v>116</v>
      </c>
      <c r="E56" s="6" t="s">
        <v>117</v>
      </c>
    </row>
    <row r="57" spans="1:9">
      <c r="A57" s="9">
        <v>54</v>
      </c>
      <c r="B57" s="7" t="str">
        <f t="shared" si="0"/>
        <v>BB</v>
      </c>
      <c r="C57" s="18"/>
      <c r="D57" s="1" t="s">
        <v>118</v>
      </c>
      <c r="E57" s="6" t="s">
        <v>119</v>
      </c>
    </row>
    <row r="58" spans="1:9">
      <c r="A58" s="9">
        <v>55</v>
      </c>
      <c r="B58" s="7" t="str">
        <f t="shared" si="0"/>
        <v>BC</v>
      </c>
      <c r="C58" s="18"/>
      <c r="D58" s="1" t="s">
        <v>120</v>
      </c>
      <c r="E58" s="6" t="s">
        <v>121</v>
      </c>
    </row>
    <row r="59" spans="1:9" ht="45">
      <c r="A59" s="9">
        <v>56</v>
      </c>
      <c r="B59" s="7" t="str">
        <f t="shared" si="0"/>
        <v>BD</v>
      </c>
      <c r="C59" s="18"/>
      <c r="D59" s="1" t="s">
        <v>122</v>
      </c>
      <c r="E59" s="2" t="str">
        <f>"last 3 (Three) financial years, ending 31st March 2009 ("&amp;E56&amp;", "&amp;E57&amp;", &amp; "&amp;E58&amp;")"</f>
        <v>last 3 (Three) financial years, ending 31st March 2009 (2007-08, 2008-09, &amp; 2009-10)</v>
      </c>
    </row>
    <row r="60" spans="1:9" ht="45">
      <c r="A60" s="9">
        <v>57</v>
      </c>
      <c r="B60" s="7" t="str">
        <f t="shared" si="0"/>
        <v>BE</v>
      </c>
      <c r="C60" s="18"/>
      <c r="D60" s="1" t="s">
        <v>123</v>
      </c>
      <c r="E60" s="6">
        <f>+E27*I60*100</f>
        <v>3208.7999999999993</v>
      </c>
      <c r="F60" s="14" t="str">
        <f>+F55</f>
        <v>##,##,##0.0</v>
      </c>
      <c r="G60" s="5" t="s">
        <v>62</v>
      </c>
      <c r="H60" s="2" t="s">
        <v>69</v>
      </c>
      <c r="I60" s="17">
        <v>0.6</v>
      </c>
    </row>
    <row r="61" spans="1:9">
      <c r="A61" s="9">
        <v>58</v>
      </c>
      <c r="B61" s="7" t="str">
        <f t="shared" si="0"/>
        <v>BF</v>
      </c>
      <c r="C61" s="18" t="s">
        <v>124</v>
      </c>
      <c r="D61" s="1" t="s">
        <v>125</v>
      </c>
      <c r="E61" s="6" t="s">
        <v>126</v>
      </c>
    </row>
    <row r="62" spans="1:9" ht="45">
      <c r="A62" s="9">
        <v>59</v>
      </c>
      <c r="B62" s="7" t="str">
        <f t="shared" si="0"/>
        <v>BG</v>
      </c>
      <c r="C62" s="18"/>
      <c r="D62" s="1" t="s">
        <v>127</v>
      </c>
      <c r="E62" s="2" t="s">
        <v>128</v>
      </c>
    </row>
    <row r="63" spans="1:9">
      <c r="A63" s="9">
        <v>60</v>
      </c>
      <c r="B63" s="7" t="str">
        <f t="shared" si="0"/>
        <v>BH</v>
      </c>
      <c r="C63" s="18"/>
      <c r="D63" s="1" t="s">
        <v>129</v>
      </c>
      <c r="E63" s="6" t="s">
        <v>130</v>
      </c>
    </row>
    <row r="64" spans="1:9">
      <c r="A64" s="9">
        <v>61</v>
      </c>
      <c r="B64" s="7" t="str">
        <f t="shared" si="0"/>
        <v>BI</v>
      </c>
      <c r="C64" s="18"/>
      <c r="D64" s="1" t="s">
        <v>131</v>
      </c>
      <c r="E64" s="6" t="s">
        <v>132</v>
      </c>
    </row>
    <row r="65" spans="1:6">
      <c r="A65" s="9">
        <v>62</v>
      </c>
      <c r="B65" s="7" t="str">
        <f t="shared" si="0"/>
        <v>BJ</v>
      </c>
      <c r="C65" s="18"/>
      <c r="D65" s="1" t="s">
        <v>133</v>
      </c>
      <c r="E65" s="6" t="s">
        <v>134</v>
      </c>
    </row>
    <row r="66" spans="1:6" ht="75">
      <c r="A66" s="9">
        <v>63</v>
      </c>
      <c r="B66" s="7" t="str">
        <f t="shared" si="0"/>
        <v>BK</v>
      </c>
      <c r="C66" s="18"/>
      <c r="D66" s="1" t="s">
        <v>135</v>
      </c>
      <c r="E66" s="6" t="s">
        <v>136</v>
      </c>
    </row>
    <row r="67" spans="1:6">
      <c r="A67" s="9">
        <v>64</v>
      </c>
      <c r="B67" s="7" t="str">
        <f t="shared" si="0"/>
        <v>BL</v>
      </c>
      <c r="C67" s="1" t="s">
        <v>137</v>
      </c>
      <c r="D67" s="1" t="s">
        <v>138</v>
      </c>
      <c r="E67" s="6">
        <v>10.3</v>
      </c>
      <c r="F67" s="14" t="s">
        <v>139</v>
      </c>
    </row>
    <row r="68" spans="1:6">
      <c r="A68" s="9">
        <v>65</v>
      </c>
      <c r="B68" s="7" t="str">
        <f t="shared" si="0"/>
        <v>BM</v>
      </c>
      <c r="D68" s="1" t="s">
        <v>140</v>
      </c>
      <c r="E68" s="6">
        <v>5.5</v>
      </c>
      <c r="F68" s="14" t="s">
        <v>141</v>
      </c>
    </row>
    <row r="69" spans="1:6" ht="30">
      <c r="A69" s="9">
        <v>66</v>
      </c>
      <c r="B69" s="7" t="str">
        <f t="shared" ref="B69:B74" si="3">IF(A69&gt;26,CHAR(64+INT((A69-1)/26))&amp;CHAR(65+MOD(A69-1,26)),CHAR(65+MOD(A69-1,26)))</f>
        <v>BN</v>
      </c>
      <c r="C69" s="1" t="s">
        <v>142</v>
      </c>
      <c r="D69" s="1" t="s">
        <v>143</v>
      </c>
      <c r="E69" s="6" t="s">
        <v>144</v>
      </c>
    </row>
    <row r="70" spans="1:6">
      <c r="A70" s="9">
        <v>67</v>
      </c>
      <c r="B70" s="7" t="str">
        <f t="shared" si="3"/>
        <v>BO</v>
      </c>
      <c r="D70" s="1" t="s">
        <v>145</v>
      </c>
      <c r="E70" s="4" t="str">
        <f>E43</f>
        <v>14 (fourteen) days</v>
      </c>
    </row>
    <row r="71" spans="1:6">
      <c r="A71" s="9">
        <v>68</v>
      </c>
      <c r="B71" s="7" t="str">
        <f t="shared" si="3"/>
        <v>BP</v>
      </c>
      <c r="D71" s="1" t="s">
        <v>146</v>
      </c>
      <c r="E71" s="6" t="s">
        <v>147</v>
      </c>
    </row>
    <row r="72" spans="1:6">
      <c r="A72" s="9">
        <v>69</v>
      </c>
      <c r="B72" s="7" t="str">
        <f t="shared" si="3"/>
        <v>BQ</v>
      </c>
      <c r="C72" s="18" t="s">
        <v>148</v>
      </c>
      <c r="D72" s="1" t="s">
        <v>149</v>
      </c>
      <c r="E72" s="6" t="str">
        <f>E69</f>
        <v>10% (ten percent)</v>
      </c>
    </row>
    <row r="73" spans="1:6" ht="30">
      <c r="A73" s="9">
        <v>70</v>
      </c>
      <c r="B73" s="7" t="str">
        <f t="shared" si="3"/>
        <v>BR</v>
      </c>
      <c r="C73" s="18"/>
      <c r="D73" s="1" t="s">
        <v>150</v>
      </c>
      <c r="E73" s="13" t="str">
        <f>E50</f>
        <v>39 (thirty nine) calendar months</v>
      </c>
    </row>
    <row r="74" spans="1:6" ht="120">
      <c r="A74" s="9">
        <v>71</v>
      </c>
      <c r="B74" s="7" t="str">
        <f t="shared" si="3"/>
        <v>BS</v>
      </c>
      <c r="C74" s="18"/>
      <c r="D74" s="1" t="s">
        <v>151</v>
      </c>
      <c r="E74" s="6" t="s">
        <v>152</v>
      </c>
    </row>
  </sheetData>
  <mergeCells count="13">
    <mergeCell ref="C72:C74"/>
    <mergeCell ref="C34:C39"/>
    <mergeCell ref="C4:C9"/>
    <mergeCell ref="C14:C15"/>
    <mergeCell ref="C16:C21"/>
    <mergeCell ref="C27:C28"/>
    <mergeCell ref="C22:C26"/>
    <mergeCell ref="C29:C33"/>
    <mergeCell ref="C47:C50"/>
    <mergeCell ref="C40:C42"/>
    <mergeCell ref="C51:C60"/>
    <mergeCell ref="C61:C66"/>
    <mergeCell ref="C44:C46"/>
  </mergeCells>
  <hyperlinks>
    <hyperlink ref="E3" r:id="rId1" xr:uid="{00000000-0004-0000-0000-000000000000}"/>
  </hyperlinks>
  <pageMargins left="0.7" right="0.7" top="0.75" bottom="0.75" header="0.3" footer="0.3"/>
  <pageSetup orientation="portrait" horizontalDpi="200" verticalDpi="20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E2"/>
  <sheetViews>
    <sheetView topLeftCell="AE1" zoomScale="110" zoomScaleNormal="110" workbookViewId="0">
      <selection activeCell="AK3" sqref="AK3"/>
    </sheetView>
  </sheetViews>
  <sheetFormatPr defaultRowHeight="15"/>
  <cols>
    <col min="8" max="8" width="30.42578125" bestFit="1" customWidth="1"/>
    <col min="12" max="12" width="11.7109375" bestFit="1" customWidth="1"/>
    <col min="13" max="13" width="15.28515625" customWidth="1"/>
    <col min="14" max="14" width="11.7109375" customWidth="1"/>
    <col min="15" max="15" width="12.7109375" customWidth="1"/>
    <col min="16" max="16" width="13.42578125" customWidth="1"/>
    <col min="18" max="18" width="27" bestFit="1" customWidth="1"/>
    <col min="19" max="20" width="26.28515625" bestFit="1" customWidth="1"/>
    <col min="28" max="28" width="8.5703125" customWidth="1"/>
    <col min="36" max="36" width="14.140625" customWidth="1"/>
    <col min="37" max="37" width="12.28515625" customWidth="1"/>
    <col min="39" max="39" width="26.5703125" bestFit="1" customWidth="1"/>
    <col min="40" max="44" width="26.5703125" customWidth="1"/>
    <col min="45" max="45" width="23.7109375" bestFit="1" customWidth="1"/>
    <col min="51" max="51" width="15.85546875" customWidth="1"/>
    <col min="75" max="75" width="19.42578125" customWidth="1"/>
  </cols>
  <sheetData>
    <row r="1" spans="1:83">
      <c r="A1" t="s">
        <v>153</v>
      </c>
      <c r="B1" t="s">
        <v>154</v>
      </c>
      <c r="C1" t="s">
        <v>155</v>
      </c>
      <c r="D1" t="s">
        <v>156</v>
      </c>
      <c r="E1" t="s">
        <v>157</v>
      </c>
      <c r="F1" t="s">
        <v>158</v>
      </c>
      <c r="G1" t="s">
        <v>159</v>
      </c>
      <c r="H1" t="s">
        <v>160</v>
      </c>
      <c r="I1" t="s">
        <v>21</v>
      </c>
      <c r="J1" t="s">
        <v>161</v>
      </c>
      <c r="K1" t="s">
        <v>162</v>
      </c>
      <c r="L1" t="s">
        <v>163</v>
      </c>
      <c r="M1" t="s">
        <v>164</v>
      </c>
      <c r="N1" t="s">
        <v>165</v>
      </c>
      <c r="O1" t="s">
        <v>166</v>
      </c>
      <c r="P1" t="s">
        <v>167</v>
      </c>
      <c r="Q1" t="s">
        <v>168</v>
      </c>
      <c r="R1" t="s">
        <v>169</v>
      </c>
      <c r="S1" t="s">
        <v>170</v>
      </c>
      <c r="T1" t="s">
        <v>171</v>
      </c>
      <c r="U1" t="s">
        <v>172</v>
      </c>
      <c r="V1" t="s">
        <v>173</v>
      </c>
      <c r="W1" t="s">
        <v>174</v>
      </c>
      <c r="X1" t="s">
        <v>175</v>
      </c>
      <c r="Y1" t="s">
        <v>176</v>
      </c>
      <c r="Z1" t="s">
        <v>177</v>
      </c>
      <c r="AA1" t="s">
        <v>178</v>
      </c>
      <c r="AB1" t="s">
        <v>179</v>
      </c>
      <c r="AC1" t="s">
        <v>180</v>
      </c>
      <c r="AD1" t="s">
        <v>181</v>
      </c>
      <c r="AE1" t="s">
        <v>182</v>
      </c>
      <c r="AF1" t="s">
        <v>183</v>
      </c>
      <c r="AG1" t="s">
        <v>184</v>
      </c>
      <c r="AH1" t="s">
        <v>185</v>
      </c>
      <c r="AI1" t="s">
        <v>186</v>
      </c>
      <c r="AJ1" t="s">
        <v>187</v>
      </c>
      <c r="AK1" t="s">
        <v>188</v>
      </c>
      <c r="AL1" t="s">
        <v>189</v>
      </c>
      <c r="AM1" t="s">
        <v>190</v>
      </c>
      <c r="AN1" t="s">
        <v>191</v>
      </c>
      <c r="AO1" t="s">
        <v>192</v>
      </c>
      <c r="AP1" t="s">
        <v>193</v>
      </c>
      <c r="AQ1" t="s">
        <v>194</v>
      </c>
      <c r="AR1" t="s">
        <v>195</v>
      </c>
      <c r="AS1" t="s">
        <v>196</v>
      </c>
      <c r="AT1" t="s">
        <v>197</v>
      </c>
      <c r="AU1" t="s">
        <v>198</v>
      </c>
      <c r="AV1" t="s">
        <v>199</v>
      </c>
      <c r="AW1" t="s">
        <v>200</v>
      </c>
      <c r="AX1" t="s">
        <v>201</v>
      </c>
      <c r="AY1" t="s">
        <v>202</v>
      </c>
      <c r="AZ1" t="s">
        <v>203</v>
      </c>
      <c r="BA1" t="s">
        <v>204</v>
      </c>
      <c r="BB1" t="s">
        <v>205</v>
      </c>
      <c r="BC1" t="s">
        <v>206</v>
      </c>
      <c r="BD1" t="s">
        <v>207</v>
      </c>
      <c r="BE1" t="s">
        <v>111</v>
      </c>
      <c r="BF1" t="s">
        <v>208</v>
      </c>
      <c r="BG1" t="s">
        <v>209</v>
      </c>
      <c r="BH1" t="s">
        <v>210</v>
      </c>
      <c r="BI1" t="s">
        <v>211</v>
      </c>
      <c r="BJ1" t="s">
        <v>212</v>
      </c>
      <c r="BK1" t="s">
        <v>213</v>
      </c>
      <c r="BL1" t="s">
        <v>214</v>
      </c>
      <c r="BM1" t="s">
        <v>215</v>
      </c>
      <c r="BN1" t="s">
        <v>216</v>
      </c>
      <c r="BO1" t="s">
        <v>217</v>
      </c>
      <c r="BP1" t="s">
        <v>218</v>
      </c>
      <c r="BQ1" t="s">
        <v>219</v>
      </c>
      <c r="BR1" t="s">
        <v>220</v>
      </c>
      <c r="BS1" t="s">
        <v>221</v>
      </c>
      <c r="BT1" t="s">
        <v>222</v>
      </c>
      <c r="BU1" t="s">
        <v>223</v>
      </c>
      <c r="BV1" t="s">
        <v>224</v>
      </c>
      <c r="BW1" t="s">
        <v>225</v>
      </c>
      <c r="BX1" t="s">
        <v>226</v>
      </c>
      <c r="BY1" t="s">
        <v>227</v>
      </c>
      <c r="BZ1" t="s">
        <v>228</v>
      </c>
      <c r="CA1" t="s">
        <v>229</v>
      </c>
      <c r="CB1" t="s">
        <v>230</v>
      </c>
      <c r="CC1" t="s">
        <v>231</v>
      </c>
      <c r="CD1" t="s">
        <v>232</v>
      </c>
      <c r="CE1" t="s">
        <v>233</v>
      </c>
    </row>
    <row r="2" spans="1:83">
      <c r="A2" t="str">
        <f>TenderDataSheet!E2</f>
        <v>IndianOil Corporation Limited (Marketing Division)</v>
      </c>
      <c r="B2" t="str">
        <f>TenderDataSheet!E3</f>
        <v>www.indianoiltenders.com</v>
      </c>
      <c r="C2" t="str">
        <f>TenderDataSheet!E4</f>
        <v>Dy. General Manager (Information Systems),</v>
      </c>
      <c r="D2" t="str">
        <f>TenderDataSheet!E5</f>
        <v>2nd Floor, Information Systems Department,</v>
      </c>
      <c r="E2" t="str">
        <f>TenderDataSheet!E6</f>
        <v>IndianOil Corporation Limited,</v>
      </c>
      <c r="F2" t="str">
        <f>TenderDataSheet!E7</f>
        <v xml:space="preserve">(Marketing Division) – Head Office, </v>
      </c>
      <c r="G2" t="str">
        <f>TenderDataSheet!E8</f>
        <v>G-9, Ali Yavar Jung Marg,</v>
      </c>
      <c r="H2" t="str">
        <f>TenderDataSheet!E9</f>
        <v>Bandra (East), Mumbai - 400 051</v>
      </c>
      <c r="I2" t="str">
        <f>TenderDataSheet!E10</f>
        <v>Rs.</v>
      </c>
      <c r="J2" t="str">
        <f>TenderDataSheet!H10</f>
        <v>Rupees</v>
      </c>
      <c r="K2" t="str">
        <f>TenderDataSheet!E11</f>
        <v>HOSYS/61/PT-03/2025-26</v>
      </c>
      <c r="L2" t="str">
        <f>TEXT(TenderDataSheet!E12,TenderDataSheet!F12)</f>
        <v>15-Dec-2025</v>
      </c>
      <c r="M2" t="str">
        <f>TenderDataSheet!E13</f>
        <v xml:space="preserve">Implementation of IndianOil-SMILE (Salesforce Management for Insights, Loyalty and Efficiency) on SaaS platform along with Maintenance for 3 years </v>
      </c>
      <c r="N2" t="str">
        <f>TenderDataSheet!E14</f>
        <v>Sr.Manager(IS), Tel: 022 25447329</v>
      </c>
      <c r="O2" t="str">
        <f>TenderDataSheet!E15</f>
        <v>email: sunambiar@indianoil.co.in</v>
      </c>
      <c r="P2" t="str">
        <f>TenderDataSheet!H14</f>
        <v>Dy.Manager(IS), Tel: 022 25447823</v>
      </c>
      <c r="Q2" t="str">
        <f>TenderDataSheet!H15</f>
        <v>email: msrana@indianoil.in</v>
      </c>
      <c r="R2" t="str">
        <f>TEXT(TenderDataSheet!E16,TenderDataSheet!F16)</f>
        <v>18-Dec-2025 at 10:00 Hrs IST</v>
      </c>
      <c r="S2" t="str">
        <f>TEXT(TenderDataSheet!E17,TenderDataSheet!F17)</f>
        <v>30-Dec-2025 at 15:00 Hrs IST</v>
      </c>
      <c r="T2" t="str">
        <f>TenderDataSheet!E18</f>
        <v>on all working hours of days between Monday to Friday during 10:30 to 13:00 &amp; 14:00 to 14:30</v>
      </c>
      <c r="U2" t="str">
        <f>TEXT(TenderDataSheet!E19,TenderDataSheet!F19)</f>
        <v/>
      </c>
      <c r="V2" t="str">
        <f>TenderDataSheet!E20</f>
        <v>Two Thousand</v>
      </c>
      <c r="W2" t="str">
        <f>TEXT(TenderDataSheet!E21,TenderDataSheet!F21)</f>
        <v>M/s Indian Oil Corporation Ltd., payable at Mumbai</v>
      </c>
      <c r="X2" t="str">
        <f>TenderDataSheet!E22</f>
        <v>4th Floor, Indian Oil Bhavan,</v>
      </c>
      <c r="Y2" t="str">
        <f>TenderDataSheet!E23</f>
        <v>IndianOil Corporation Limited,</v>
      </c>
      <c r="Z2" t="str">
        <f>TenderDataSheet!E24</f>
        <v xml:space="preserve">(Marketing Division) – Head Office, </v>
      </c>
      <c r="AA2" t="str">
        <f>TenderDataSheet!E25</f>
        <v>G-9, Ali Yavar Jung Marg,</v>
      </c>
      <c r="AB2" t="str">
        <f>TenderDataSheet!E26</f>
        <v>Bandra (East), Mumbai - 400 051</v>
      </c>
      <c r="AC2" t="str">
        <f>TEXT(TenderDataSheet!E27,TenderDataSheet!F27)</f>
        <v>53.48</v>
      </c>
      <c r="AD2" t="str">
        <f>TenderDataSheet!H27</f>
        <v>Crores</v>
      </c>
      <c r="AE2" t="str">
        <f>TenderDataSheet!E28</f>
        <v>Fifty Three Crores Forty Eight Lakhs</v>
      </c>
      <c r="AF2" t="str">
        <f>TEXT(TenderDataSheet!E29,TenderDataSheet!F29)</f>
        <v>534.8</v>
      </c>
      <c r="AG2" t="str">
        <f>TenderDataSheet!H29</f>
        <v>Lakhs</v>
      </c>
      <c r="AH2" t="str">
        <f>TenderDataSheet!E30</f>
        <v>Five Crores Thirty Four Lakhs Eighty Thousand</v>
      </c>
      <c r="AI2" t="str">
        <f>TEXT(TenderDataSheet!E31,TenderDataSheet!F31)</f>
        <v>1.0</v>
      </c>
      <c r="AJ2" t="str">
        <f>TenderDataSheet!H32</f>
        <v>Lakhs</v>
      </c>
      <c r="AK2" t="str">
        <f>TenderDataSheet!E32</f>
        <v>One</v>
      </c>
      <c r="AL2" t="str">
        <f>TenderDataSheet!E33</f>
        <v>4 (four) months</v>
      </c>
      <c r="AM2" t="str">
        <f>TEXT(TenderDataSheet!E34,TenderDataSheet!F34)</f>
        <v>04-Jan-2026 at 10:30 Hrs IST</v>
      </c>
      <c r="AN2" t="str">
        <f>TenderDataSheet!E35</f>
        <v>2nd Floor, Information Systems Department,</v>
      </c>
      <c r="AO2" t="str">
        <f>TenderDataSheet!E36</f>
        <v>IndianOil Corporation Limited,</v>
      </c>
      <c r="AP2" t="str">
        <f>TenderDataSheet!E37</f>
        <v xml:space="preserve">(Marketing Division) – Head Office, </v>
      </c>
      <c r="AQ2" t="str">
        <f>TenderDataSheet!E38</f>
        <v>G-9, Ali Yavar Jung Marg,</v>
      </c>
      <c r="AR2" t="str">
        <f>TenderDataSheet!E39</f>
        <v>Bandra (East), Mumbai - 400 051</v>
      </c>
      <c r="AS2" t="str">
        <f>TEXT(TenderDataSheet!E40,TenderDataSheet!F40)</f>
        <v>10-Jan-2026 at 15:00 Hrs IST</v>
      </c>
      <c r="AT2" t="str">
        <f>TEXT(TenderDataSheet!E41,TenderDataSheet!F41)</f>
        <v>10-Jan-2026 at 15:30 Hrs IST</v>
      </c>
      <c r="AU2" t="str">
        <f>TenderDataSheet!E42</f>
        <v>in the Tender Box  of (Information Systems) kept near the gate at the Main Entrance of IOCL</v>
      </c>
      <c r="AV2" t="str">
        <f>TenderDataSheet!E43</f>
        <v>14 (fourteen) days</v>
      </c>
      <c r="AW2" t="str">
        <f>TenderDataSheet!E44</f>
        <v>8 (eight) weeks</v>
      </c>
      <c r="AX2" t="s">
        <v>96</v>
      </c>
      <c r="AY2" t="str">
        <f>TenderDataSheet!E46</f>
        <v>For any delay in completion of the work beyond the completion time stipulated, the contractual price payable by IOCL shall be subject to adjustment by way of discount in price by a sum equivalent to not more than 10% of the total contract value at the rate of ½% (half per cent) of the Purchase/Work Order value per week or part thereof of delay beyond the stipulated schedule date of completion</v>
      </c>
      <c r="AZ2" t="str">
        <f>TenderDataSheet!E47</f>
        <v>Seventy percent (70%)</v>
      </c>
      <c r="BA2" t="str">
        <f>TenderDataSheet!E48</f>
        <v>Twenty percent (20%)</v>
      </c>
      <c r="BB2" t="str">
        <f>TenderDataSheet!E49</f>
        <v>Ten percent (10%)</v>
      </c>
      <c r="BC2" t="str">
        <f>TenderDataSheet!E50</f>
        <v>39 (thirty nine) calendar months</v>
      </c>
      <c r="BD2" t="str">
        <f>TenderDataSheet!E51</f>
        <v>Two (2) years ending 31st March 2010</v>
      </c>
      <c r="BE2" t="str">
        <f>TenderDataSheet!E52</f>
        <v>experience of having successfully completed supplies of Servers and / or Storage (SAN) equipments with warranty support</v>
      </c>
      <c r="BF2" t="str">
        <f>TEXT(TenderDataSheet!E53,TenderDataSheet!F53)</f>
        <v>26.7</v>
      </c>
      <c r="BG2" t="str">
        <f>TenderDataSheet!H53</f>
        <v>Crores</v>
      </c>
      <c r="BH2" t="str">
        <f>TEXT(TenderDataSheet!E54,TenderDataSheet!F54)</f>
        <v>21.4</v>
      </c>
      <c r="BI2" t="str">
        <f>TenderDataSheet!H54</f>
        <v>Crores</v>
      </c>
      <c r="BJ2" t="str">
        <f>TEXT(TenderDataSheet!E55,TenderDataSheet!F55)</f>
        <v>16.0</v>
      </c>
      <c r="BK2" t="str">
        <f>TenderDataSheet!H55</f>
        <v>Crores</v>
      </c>
      <c r="BL2" t="str">
        <f>TenderDataSheet!E56</f>
        <v>2007-08</v>
      </c>
      <c r="BM2" t="str">
        <f>TenderDataSheet!E57</f>
        <v>2008-09</v>
      </c>
      <c r="BN2" t="str">
        <f>TenderDataSheet!E58</f>
        <v>2009-10</v>
      </c>
      <c r="BO2" t="str">
        <f>TenderDataSheet!E59</f>
        <v>last 3 (Three) financial years, ending 31st March 2009 (2007-08, 2008-09, &amp; 2009-10)</v>
      </c>
      <c r="BP2" t="str">
        <f>TEXT(TenderDataSheet!E60,TenderDataSheet!F60)</f>
        <v>3,208.8</v>
      </c>
      <c r="BQ2" t="str">
        <f>TenderDataSheet!H60</f>
        <v>Lakhs</v>
      </c>
      <c r="BR2" t="str">
        <f>TenderDataSheet!E61</f>
        <v>3 (three) years</v>
      </c>
      <c r="BS2" t="str">
        <f>TenderDataSheet!E62</f>
        <v>date of completion of installation of the last Server and SAN storage that is duly certified by IOCL</v>
      </c>
      <c r="BT2" t="str">
        <f>TenderDataSheet!E63</f>
        <v>4 (four) hours</v>
      </c>
      <c r="BU2" t="str">
        <f>TenderDataSheet!E64</f>
        <v>24 (twenty four) hours</v>
      </c>
      <c r="BV2" t="str">
        <f>TenderDataSheet!E65</f>
        <v>48 (forty eight) hours</v>
      </c>
      <c r="BW2" t="str">
        <f>TenderDataSheet!E66</f>
        <v>the Number of Days of such delay, divided by the total Warranty Period in days and multiplied by Value of the Performance Guarantee</v>
      </c>
      <c r="BX2" t="str">
        <f>TEXT(TenderDataSheet!E67,TenderDataSheet!F67)</f>
        <v>10.30%</v>
      </c>
      <c r="BY2" t="str">
        <f>TEXT(TenderDataSheet!E68,TenderDataSheet!F68)</f>
        <v>5.5%</v>
      </c>
      <c r="BZ2" t="str">
        <f>TenderDataSheet!E69</f>
        <v>10% (ten percent)</v>
      </c>
      <c r="CA2" t="str">
        <f>TenderDataSheet!E70</f>
        <v>14 (fourteen) days</v>
      </c>
      <c r="CB2" t="str">
        <f>TenderDataSheet!E71</f>
        <v>6 (six) calendar months</v>
      </c>
      <c r="CC2" t="str">
        <f>TenderDataSheet!E72</f>
        <v>10% (ten percent)</v>
      </c>
      <c r="CD2" t="str">
        <f>TenderDataSheet!E73</f>
        <v>39 (thirty nine) calendar months</v>
      </c>
      <c r="CE2" t="str">
        <f>TenderDataSheet!E74</f>
        <v>the Number of Days of experiencing of such deficiencies continually or otherwise even after duly informing the vendor of the same, divided by the total Warranty Period in days and multiplied by Value of the Performance Guarantee</v>
      </c>
    </row>
  </sheetData>
  <pageMargins left="0.7" right="0.7" top="0.75" bottom="0.75" header="0.3" footer="0.3"/>
  <pageSetup orientation="portrait"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Suresh</dc:creator>
  <cp:keywords/>
  <dc:description/>
  <cp:lastModifiedBy>Nambiar, Suresh (सुरेश नम्ब्यार)</cp:lastModifiedBy>
  <cp:revision/>
  <dcterms:created xsi:type="dcterms:W3CDTF">2009-11-21T03:39:14Z</dcterms:created>
  <dcterms:modified xsi:type="dcterms:W3CDTF">2025-12-12T15:45:08Z</dcterms:modified>
  <cp:category/>
  <cp:contentStatus/>
</cp:coreProperties>
</file>